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一 模型检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%.2e"/>
    <numFmt numFmtId="165" formatCode="%.4f"/>
    <numFmt numFmtId="166" formatCode="%.6f"/>
  </numFmts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b val="1"/>
      <sz val="10"/>
    </font>
    <font>
      <name val="微软雅黑"/>
      <sz val="10"/>
    </font>
    <font>
      <name val="微软雅黑"/>
      <b val="1"/>
      <sz val="9"/>
    </font>
    <font>
      <name val="微软雅黑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9E9E9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22" customWidth="1" min="3" max="3"/>
    <col width="25" customWidth="1" min="4" max="4"/>
    <col width="25" customWidth="1" min="5" max="5"/>
    <col width="13" customWidth="1" min="6" max="6"/>
  </cols>
  <sheetData>
    <row r="1" ht="26" customHeight="1">
      <c r="A1" s="1" t="inlineStr">
        <is>
          <t>问题一 模型检验表</t>
        </is>
      </c>
    </row>
    <row r="3" ht="22" customHeight="1">
      <c r="A3" s="2" t="inlineStr">
        <is>
          <t>编号</t>
        </is>
      </c>
      <c r="B3" s="2" t="inlineStr">
        <is>
          <t>检验项</t>
        </is>
      </c>
      <c r="C3" s="2" t="inlineStr">
        <is>
          <t>判据</t>
        </is>
      </c>
      <c r="D3" s="2" t="inlineStr">
        <is>
          <t>约束A（固定）</t>
        </is>
      </c>
      <c r="E3" s="2" t="inlineStr">
        <is>
          <t>约束B（自由）</t>
        </is>
      </c>
      <c r="F3" s="2" t="inlineStr">
        <is>
          <t>结论</t>
        </is>
      </c>
    </row>
    <row r="4">
      <c r="A4" s="3" t="inlineStr">
        <is>
          <t>①</t>
        </is>
      </c>
      <c r="B4" s="4" t="inlineStr">
        <is>
          <t>电量平衡残差最大值 (kW)</t>
        </is>
      </c>
      <c r="C4" s="4" t="inlineStr">
        <is>
          <t>&lt; 1e-3</t>
        </is>
      </c>
      <c r="D4" s="5" t="n">
        <v>1.818989403545856e-12</v>
      </c>
      <c r="E4" s="5" t="n">
        <v>1.818989403545856e-12</v>
      </c>
      <c r="F4" s="4" t="inlineStr">
        <is>
          <t>通过</t>
        </is>
      </c>
    </row>
    <row r="5">
      <c r="A5" s="3" t="inlineStr">
        <is>
          <t>②</t>
        </is>
      </c>
      <c r="B5" s="4" t="inlineStr">
        <is>
          <t>储能递推残差最大值 (kWh)</t>
        </is>
      </c>
      <c r="C5" s="4" t="inlineStr">
        <is>
          <t>&lt; 1e-3</t>
        </is>
      </c>
      <c r="D5" s="5" t="n">
        <v>8.148148187103743e-05</v>
      </c>
      <c r="E5" s="5" t="n">
        <v>8.148148187103743e-05</v>
      </c>
      <c r="F5" s="4" t="inlineStr">
        <is>
          <t>通过</t>
        </is>
      </c>
    </row>
    <row r="6">
      <c r="A6" s="3" t="inlineStr">
        <is>
          <t>③</t>
        </is>
      </c>
      <c r="B6" s="4" t="inlineStr">
        <is>
          <t>储电量最小值 (kWh)</t>
        </is>
      </c>
      <c r="C6" s="4" t="inlineStr">
        <is>
          <t>≥ 1200</t>
        </is>
      </c>
      <c r="D6" s="6" t="n">
        <v>1200</v>
      </c>
      <c r="E6" s="6" t="n">
        <v>1200</v>
      </c>
      <c r="F6" s="4" t="inlineStr">
        <is>
          <t>通过</t>
        </is>
      </c>
    </row>
    <row r="7">
      <c r="A7" s="3" t="inlineStr">
        <is>
          <t>③</t>
        </is>
      </c>
      <c r="B7" s="4" t="inlineStr">
        <is>
          <t>储电量最大值 (kWh)</t>
        </is>
      </c>
      <c r="C7" s="4" t="inlineStr">
        <is>
          <t>≤ 10800</t>
        </is>
      </c>
      <c r="D7" s="6" t="n">
        <v>10800</v>
      </c>
      <c r="E7" s="6" t="n">
        <v>10800</v>
      </c>
      <c r="F7" s="4" t="inlineStr">
        <is>
          <t>通过</t>
        </is>
      </c>
    </row>
    <row r="8">
      <c r="A8" s="3" t="inlineStr">
        <is>
          <t>③</t>
        </is>
      </c>
      <c r="B8" s="4" t="inlineStr">
        <is>
          <t>储电量越界</t>
        </is>
      </c>
      <c r="C8" s="4" t="inlineStr">
        <is>
          <t>应为 否</t>
        </is>
      </c>
      <c r="D8" s="4" t="b">
        <v>0</v>
      </c>
      <c r="E8" s="4" t="b">
        <v>0</v>
      </c>
      <c r="F8" s="4" t="inlineStr">
        <is>
          <t>通过</t>
        </is>
      </c>
    </row>
    <row r="9">
      <c r="A9" s="3" t="inlineStr">
        <is>
          <t>④</t>
        </is>
      </c>
      <c r="B9" s="4" t="inlineStr">
        <is>
          <t>充电功率最大值 (kW)</t>
        </is>
      </c>
      <c r="C9" s="4" t="inlineStr">
        <is>
          <t>≤ 5000</t>
        </is>
      </c>
      <c r="D9" s="6" t="n">
        <v>5000</v>
      </c>
      <c r="E9" s="6" t="n">
        <v>5000</v>
      </c>
      <c r="F9" s="4" t="inlineStr">
        <is>
          <t>通过</t>
        </is>
      </c>
    </row>
    <row r="10">
      <c r="A10" s="3" t="inlineStr">
        <is>
          <t>④</t>
        </is>
      </c>
      <c r="B10" s="4" t="inlineStr">
        <is>
          <t>放电功率最大值 (kW)</t>
        </is>
      </c>
      <c r="C10" s="4" t="inlineStr">
        <is>
          <t>≤ 5000</t>
        </is>
      </c>
      <c r="D10" s="6" t="n">
        <v>4293.9182</v>
      </c>
      <c r="E10" s="6" t="n">
        <v>4293.9182</v>
      </c>
      <c r="F10" s="4" t="inlineStr">
        <is>
          <t>通过</t>
        </is>
      </c>
    </row>
    <row r="11">
      <c r="A11" s="3" t="inlineStr">
        <is>
          <t>④</t>
        </is>
      </c>
      <c r="B11" s="4" t="inlineStr">
        <is>
          <t>充放电功率越限</t>
        </is>
      </c>
      <c r="C11" s="4" t="inlineStr">
        <is>
          <t>应为 否</t>
        </is>
      </c>
      <c r="D11" s="4" t="b">
        <v>0</v>
      </c>
      <c r="E11" s="4" t="b">
        <v>0</v>
      </c>
      <c r="F11" s="4" t="inlineStr">
        <is>
          <t>通过</t>
        </is>
      </c>
    </row>
    <row r="12">
      <c r="A12" s="3" t="inlineStr">
        <is>
          <t>⑤</t>
        </is>
      </c>
      <c r="B12" s="4" t="inlineStr">
        <is>
          <t>购电功率出现负值</t>
        </is>
      </c>
      <c r="C12" s="4" t="inlineStr">
        <is>
          <t>应为 否</t>
        </is>
      </c>
      <c r="D12" s="4" t="b">
        <v>0</v>
      </c>
      <c r="E12" s="4" t="b">
        <v>0</v>
      </c>
      <c r="F12" s="4" t="inlineStr">
        <is>
          <t>通过</t>
        </is>
      </c>
    </row>
    <row r="13">
      <c r="A13" s="3" t="inlineStr">
        <is>
          <t>⑤</t>
        </is>
      </c>
      <c r="B13" s="4" t="inlineStr">
        <is>
          <t>弃光功率出现负值</t>
        </is>
      </c>
      <c r="C13" s="4" t="inlineStr">
        <is>
          <t>应为 否</t>
        </is>
      </c>
      <c r="D13" s="4" t="b">
        <v>0</v>
      </c>
      <c r="E13" s="4" t="b">
        <v>0</v>
      </c>
      <c r="F13" s="4" t="inlineStr">
        <is>
          <t>通过</t>
        </is>
      </c>
    </row>
    <row r="14">
      <c r="A14" s="3" t="inlineStr">
        <is>
          <t>⑤</t>
        </is>
      </c>
      <c r="B14" s="4" t="inlineStr">
        <is>
          <t>同时充放电 min(u,v) 最大值 (kW)</t>
        </is>
      </c>
      <c r="C14" s="4" t="inlineStr">
        <is>
          <t>应为 0</t>
        </is>
      </c>
      <c r="D14" s="5" t="n">
        <v>0</v>
      </c>
      <c r="E14" s="5" t="n">
        <v>0</v>
      </c>
      <c r="F14" s="4" t="inlineStr">
        <is>
          <t>通过</t>
        </is>
      </c>
    </row>
    <row r="15">
      <c r="A15" s="3" t="inlineStr">
        <is>
          <t>⑥</t>
        </is>
      </c>
      <c r="B15" s="4" t="inlineStr">
        <is>
          <t>全天能量守恒 左边 (kWh)</t>
        </is>
      </c>
      <c r="C15" s="4">
        <f> 右边</f>
        <v/>
      </c>
      <c r="D15" s="6" t="n">
        <v>131765.4742333333</v>
      </c>
      <c r="E15" s="6" t="n">
        <v>131765.4742333333</v>
      </c>
      <c r="F15" s="4" t="inlineStr">
        <is>
          <t>通过</t>
        </is>
      </c>
    </row>
    <row r="16">
      <c r="A16" s="3" t="inlineStr">
        <is>
          <t>⑥</t>
        </is>
      </c>
      <c r="B16" s="4" t="inlineStr">
        <is>
          <t>全天能量守恒 右边 (kWh)</t>
        </is>
      </c>
      <c r="C16" s="4">
        <f> 左边</f>
        <v/>
      </c>
      <c r="D16" s="6" t="n">
        <v>131765.4742333333</v>
      </c>
      <c r="E16" s="6" t="n">
        <v>131765.4742333333</v>
      </c>
      <c r="F16" s="4" t="inlineStr">
        <is>
          <t>通过</t>
        </is>
      </c>
    </row>
    <row r="17">
      <c r="A17" s="3" t="inlineStr">
        <is>
          <t>⑥</t>
        </is>
      </c>
      <c r="B17" s="4" t="inlineStr">
        <is>
          <t>全天能量守恒 相对误差</t>
        </is>
      </c>
      <c r="C17" s="4" t="inlineStr">
        <is>
          <t>&lt; 1e-9</t>
        </is>
      </c>
      <c r="D17" s="5" t="n">
        <v>2.208759967364135e-16</v>
      </c>
      <c r="E17" s="5" t="n">
        <v>2.208759967364135e-16</v>
      </c>
      <c r="F17" s="4" t="inlineStr">
        <is>
          <t>通过</t>
        </is>
      </c>
    </row>
    <row r="18">
      <c r="A18" s="3" t="inlineStr">
        <is>
          <t>⑦</t>
        </is>
      </c>
      <c r="B18" s="4" t="inlineStr">
        <is>
          <t>充放电量比 Σv/Σu</t>
        </is>
      </c>
      <c r="C18" s="4">
        <f> η_c·η_d = 0.81</f>
        <v/>
      </c>
      <c r="D18" s="7" t="n">
        <v>0.809999999935714</v>
      </c>
      <c r="E18" s="7" t="n">
        <v>0.8099999999357141</v>
      </c>
      <c r="F18" s="4" t="inlineStr">
        <is>
          <t>通过</t>
        </is>
      </c>
    </row>
    <row r="19">
      <c r="A19" s="3" t="inlineStr">
        <is>
          <t>⑦</t>
        </is>
      </c>
      <c r="B19" s="4" t="inlineStr">
        <is>
          <t>往返效率 η_c·η_d</t>
        </is>
      </c>
      <c r="C19" s="4" t="inlineStr">
        <is>
          <t>与上一行相等</t>
        </is>
      </c>
      <c r="D19" s="7" t="n">
        <v>0.8100000000000001</v>
      </c>
      <c r="E19" s="7" t="n">
        <v>0.8100000000000001</v>
      </c>
      <c r="F19" s="4" t="inlineStr">
        <is>
          <t>通过</t>
        </is>
      </c>
    </row>
    <row r="20">
      <c r="A20" s="8" t="inlineStr">
        <is>
          <t>说明：</t>
        </is>
      </c>
    </row>
    <row r="21">
      <c r="A21" s="9" t="inlineStr">
        <is>
          <t>数据来源：results\约束A（固定）_完整结果.csv、results\约束B（自由）_完整结果.csv。</t>
        </is>
      </c>
    </row>
    <row r="22">
      <c r="A22" s="9" t="inlineStr">
        <is>
          <t>本表由 validation\check_model.py 只读结果 csv 生成，不重新求解，属于对解的外部验证。</t>
        </is>
      </c>
    </row>
    <row r="23">
      <c r="A23" s="9" t="inlineStr">
        <is>
          <t>① 电量平衡与 ② 储能递推是模型的硬约束，残差为 0 说明解严格可行。本表数值由结果表 csv（四位小数）反算，</t>
        </is>
      </c>
    </row>
    <row r="24">
      <c r="A24" s="9" t="inlineStr">
        <is>
          <t xml:space="preserve">   故残差判据放宽到 1e-3；求解器内存中的残差是精确的 0，见 solve_q1_ab.py 的 validate() 输出。</t>
        </is>
      </c>
    </row>
    <row r="25">
      <c r="A25" s="9" t="inlineStr">
        <is>
          <t>③④⑤ 对应储电量上下限、充放电功率上限、变量非负与充放电互斥。</t>
        </is>
      </c>
    </row>
    <row r="26">
      <c r="A26" s="9" t="inlineStr">
        <is>
          <t>⑥ 全天能量守恒是把 144 个时段的平衡式求和后得到的整体校验：左边 Σx·Δt + ΣP^fc·Δt + Σv·Δt，</t>
        </is>
      </c>
    </row>
    <row r="27">
      <c r="A27" s="9" t="inlineStr">
        <is>
          <t xml:space="preserve">   右边 ΣL·Δt + Σu·Δt + Σw·Δt。它比逐时段残差更严格，能查出 24:00 收口行算重、算漏这类整体性错误。</t>
        </is>
      </c>
    </row>
    <row r="28">
      <c r="A28" s="9" t="inlineStr">
        <is>
          <t>⑦ 只要当天首尾储电量相同（E_T = E_0），放电总量与充电总量之比就必然等于往返效率 η_c·η_d = 0.81，</t>
        </is>
      </c>
    </row>
    <row r="29">
      <c r="A29" s="9" t="inlineStr">
        <is>
          <t xml:space="preserve">   与电价、负载、容量都无关。这是很灵敏的自检：储能递推式或效率项写错，这一行立刻就对不上。</t>
        </is>
      </c>
    </row>
  </sheetData>
  <mergeCells count="10">
    <mergeCell ref="A24:F24"/>
    <mergeCell ref="A28:F28"/>
    <mergeCell ref="A1:F1"/>
    <mergeCell ref="A23:F23"/>
    <mergeCell ref="A27:F27"/>
    <mergeCell ref="A22:F22"/>
    <mergeCell ref="A26:F26"/>
    <mergeCell ref="A21:F21"/>
    <mergeCell ref="A29:F2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2026-09-11T09:16:50Z</dcterms:created>
  <dcterms:modified xmlns:dcterms="http://purl.org/dc/terms/" xmlns:xsi="http://www.w3.org/2001/XMLSchema-instance" xsi:type="dcterms:W3CDTF">2026-09-11T09:16:50Z</dcterms:modified>
</cp:coreProperties>
</file>